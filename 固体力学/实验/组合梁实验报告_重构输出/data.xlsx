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8795" activeTab="2"/>
  </bookViews>
  <sheets>
    <sheet name="钢钢" sheetId="1" r:id="rId1"/>
    <sheet name="钢铝" sheetId="6" r:id="rId2"/>
    <sheet name="楔块" sheetId="9" r:id="rId3"/>
  </sheets>
  <calcPr calcId="144525"/>
</workbook>
</file>

<file path=xl/sharedStrings.xml><?xml version="1.0" encoding="utf-8"?>
<sst xmlns="http://schemas.openxmlformats.org/spreadsheetml/2006/main" count="15" uniqueCount="5">
  <si>
    <t>应变片号</t>
  </si>
  <si>
    <r>
      <rPr>
        <sz val="11"/>
        <color theme="1"/>
        <rFont val="等线"/>
        <charset val="134"/>
        <scheme val="minor"/>
      </rPr>
      <t>应变（</t>
    </r>
    <r>
      <rPr>
        <sz val="11"/>
        <color theme="1"/>
        <rFont val="Calibri"/>
        <charset val="134"/>
      </rPr>
      <t>με</t>
    </r>
    <r>
      <rPr>
        <sz val="11"/>
        <color theme="1"/>
        <rFont val="等线"/>
        <charset val="134"/>
      </rPr>
      <t>）</t>
    </r>
  </si>
  <si>
    <t>高度（mm）</t>
  </si>
  <si>
    <r>
      <rPr>
        <sz val="11"/>
        <color theme="1"/>
        <rFont val="等线"/>
        <charset val="134"/>
        <scheme val="minor"/>
      </rPr>
      <t>应力</t>
    </r>
    <r>
      <rPr>
        <sz val="11"/>
        <color theme="1"/>
        <rFont val="Calibri"/>
        <charset val="134"/>
      </rPr>
      <t>σ</t>
    </r>
    <r>
      <rPr>
        <sz val="11"/>
        <color theme="1"/>
        <rFont val="等线"/>
        <charset val="134"/>
      </rPr>
      <t>（Mpa）</t>
    </r>
  </si>
  <si>
    <t>理论应力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</si>
</sst>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.00_ "/>
  </numFmts>
  <fonts count="22"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1"/>
      <name val="Calibri"/>
      <charset val="134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3" borderId="5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8" fillId="13" borderId="3" applyNumberFormat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（上半部）钢</a:t>
            </a:r>
            <a:r>
              <a:rPr lang="en-US" altLang="zh-CN"/>
              <a:t>-</a:t>
            </a:r>
            <a:r>
              <a:rPr lang="zh-CN" altLang="en-US"/>
              <a:t>钢叠梁应力高度曲线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钢钢!$B$3:$F$3</c:f>
              <c:numCache>
                <c:formatCode>0.00_ </c:formatCode>
                <c:ptCount val="5"/>
                <c:pt idx="0">
                  <c:v>56.64</c:v>
                </c:pt>
                <c:pt idx="1">
                  <c:v>56.64</c:v>
                </c:pt>
                <c:pt idx="2">
                  <c:v>49.56</c:v>
                </c:pt>
                <c:pt idx="3">
                  <c:v>42.48</c:v>
                </c:pt>
                <c:pt idx="4">
                  <c:v>35.4</c:v>
                </c:pt>
              </c:numCache>
            </c:numRef>
          </c:xVal>
          <c:yVal>
            <c:numRef>
              <c:f>钢钢!$B$4:$F$4</c:f>
              <c:numCache>
                <c:formatCode>0.00_ </c:formatCode>
                <c:ptCount val="5"/>
                <c:pt idx="0">
                  <c:v>-63.654</c:v>
                </c:pt>
                <c:pt idx="1">
                  <c:v>-63.86</c:v>
                </c:pt>
                <c:pt idx="2">
                  <c:v>-32.548</c:v>
                </c:pt>
                <c:pt idx="3">
                  <c:v>0.206</c:v>
                </c:pt>
                <c:pt idx="4">
                  <c:v>32.548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086848"/>
        <c:axId val="526088160"/>
      </c:scatterChart>
      <c:valAx>
        <c:axId val="52608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高度（</a:t>
                </a:r>
                <a:r>
                  <a:rPr lang="en-US" altLang="zh-CN"/>
                  <a:t>mm</a:t>
                </a:r>
                <a:r>
                  <a:rPr lang="zh-CN" altLang="en-US"/>
                  <a:t>）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6088160"/>
        <c:crosses val="autoZero"/>
        <c:crossBetween val="midCat"/>
      </c:valAx>
      <c:valAx>
        <c:axId val="52608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应力（</a:t>
                </a:r>
                <a:r>
                  <a:rPr lang="en-US" altLang="zh-CN"/>
                  <a:t>MPa</a:t>
                </a:r>
                <a:r>
                  <a:rPr lang="zh-CN" altLang="en-US"/>
                  <a:t>）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608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（下半部）钢</a:t>
            </a:r>
            <a:r>
              <a:rPr lang="en-US" altLang="zh-CN"/>
              <a:t>-</a:t>
            </a:r>
            <a:r>
              <a:rPr lang="zh-CN" altLang="en-US"/>
              <a:t>钢叠梁应力高度曲线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钢钢!$G$3:$K$3</c:f>
              <c:numCache>
                <c:formatCode>0.00_ </c:formatCode>
                <c:ptCount val="5"/>
                <c:pt idx="0">
                  <c:v>21.24</c:v>
                </c:pt>
                <c:pt idx="1">
                  <c:v>14.16</c:v>
                </c:pt>
                <c:pt idx="2">
                  <c:v>7.08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钢钢!$G$4:$K$4</c:f>
              <c:numCache>
                <c:formatCode>0.00_ </c:formatCode>
                <c:ptCount val="5"/>
                <c:pt idx="0">
                  <c:v>-32.342</c:v>
                </c:pt>
                <c:pt idx="1">
                  <c:v>1.854</c:v>
                </c:pt>
                <c:pt idx="2">
                  <c:v>34.402</c:v>
                </c:pt>
                <c:pt idx="3">
                  <c:v>66.538</c:v>
                </c:pt>
                <c:pt idx="4">
                  <c:v>66.332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871008"/>
        <c:axId val="662874288"/>
      </c:scatterChart>
      <c:valAx>
        <c:axId val="66287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高度</a:t>
                </a:r>
                <a:r>
                  <a:rPr lang="en-US" altLang="zh-CN"/>
                  <a:t>(mm)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2874288"/>
        <c:crosses val="autoZero"/>
        <c:crossBetween val="midCat"/>
      </c:valAx>
      <c:valAx>
        <c:axId val="66287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应力</a:t>
                </a:r>
                <a:r>
                  <a:rPr lang="en-US" altLang="zh-CN"/>
                  <a:t>(MPa)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287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钢</a:t>
            </a:r>
            <a:r>
              <a:rPr lang="en-US" altLang="zh-CN"/>
              <a:t>-</a:t>
            </a:r>
            <a:r>
              <a:rPr altLang="en-US"/>
              <a:t>钢梁理论应力</a:t>
            </a:r>
            <a:r>
              <a:rPr lang="en-US" altLang="zh-CN"/>
              <a:t>-</a:t>
            </a:r>
            <a:r>
              <a:rPr altLang="en-US"/>
              <a:t>高度曲线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钢钢!$B$3:$K$3</c:f>
              <c:numCache>
                <c:formatCode>0.00_ </c:formatCode>
                <c:ptCount val="10"/>
                <c:pt idx="0">
                  <c:v>56.64</c:v>
                </c:pt>
                <c:pt idx="1">
                  <c:v>56.64</c:v>
                </c:pt>
                <c:pt idx="2">
                  <c:v>49.56</c:v>
                </c:pt>
                <c:pt idx="3">
                  <c:v>42.48</c:v>
                </c:pt>
                <c:pt idx="4">
                  <c:v>35.4</c:v>
                </c:pt>
                <c:pt idx="5">
                  <c:v>21.24</c:v>
                </c:pt>
                <c:pt idx="6">
                  <c:v>14.16</c:v>
                </c:pt>
                <c:pt idx="7">
                  <c:v>7.08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钢钢!$B$5:$K$5</c:f>
              <c:numCache>
                <c:formatCode>0.00_ </c:formatCode>
                <c:ptCount val="10"/>
                <c:pt idx="0">
                  <c:v>-67.1953994911642</c:v>
                </c:pt>
                <c:pt idx="1">
                  <c:v>-67.1953994911642</c:v>
                </c:pt>
                <c:pt idx="2">
                  <c:v>-33.5976997455821</c:v>
                </c:pt>
                <c:pt idx="3">
                  <c:v>0</c:v>
                </c:pt>
                <c:pt idx="4">
                  <c:v>33.5976997455821</c:v>
                </c:pt>
                <c:pt idx="5">
                  <c:v>-33.5976997455821</c:v>
                </c:pt>
                <c:pt idx="6">
                  <c:v>0</c:v>
                </c:pt>
                <c:pt idx="7">
                  <c:v>33.5976997455821</c:v>
                </c:pt>
                <c:pt idx="8">
                  <c:v>67.1953994911642</c:v>
                </c:pt>
                <c:pt idx="9">
                  <c:v>67.1953994911642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005647"/>
        <c:axId val="511524611"/>
      </c:scatterChart>
      <c:valAx>
        <c:axId val="290005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高度（</a:t>
                </a:r>
                <a:r>
                  <a:rPr lang="en-US" altLang="zh-CN"/>
                  <a:t>mm</a:t>
                </a:r>
                <a:r>
                  <a:rPr altLang="en-US"/>
                  <a:t>）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1524611"/>
        <c:crosses val="autoZero"/>
        <c:crossBetween val="midCat"/>
      </c:valAx>
      <c:valAx>
        <c:axId val="5115246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理论应力（</a:t>
                </a:r>
                <a:r>
                  <a:rPr lang="en-US" altLang="zh-CN"/>
                  <a:t>MPa</a:t>
                </a:r>
                <a:r>
                  <a:rPr altLang="en-US"/>
                  <a:t>）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0005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（铝）钢</a:t>
            </a:r>
            <a:r>
              <a:rPr lang="en-US" altLang="zh-CN"/>
              <a:t>-</a:t>
            </a:r>
            <a:r>
              <a:rPr lang="zh-CN" altLang="en-US"/>
              <a:t>铝梁应力高度曲线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钢铝!$B$3:$F$3</c:f>
              <c:numCache>
                <c:formatCode>0.00_ </c:formatCode>
                <c:ptCount val="5"/>
                <c:pt idx="0">
                  <c:v>57</c:v>
                </c:pt>
                <c:pt idx="1">
                  <c:v>57</c:v>
                </c:pt>
                <c:pt idx="2">
                  <c:v>49.875</c:v>
                </c:pt>
                <c:pt idx="3">
                  <c:v>42.75</c:v>
                </c:pt>
                <c:pt idx="4">
                  <c:v>35.625</c:v>
                </c:pt>
              </c:numCache>
            </c:numRef>
          </c:xVal>
          <c:yVal>
            <c:numRef>
              <c:f>钢铝!$B$4:$F$4</c:f>
              <c:numCache>
                <c:formatCode>0.00_ </c:formatCode>
                <c:ptCount val="5"/>
                <c:pt idx="0">
                  <c:v>-30.59</c:v>
                </c:pt>
                <c:pt idx="1">
                  <c:v>-30.59</c:v>
                </c:pt>
                <c:pt idx="2">
                  <c:v>-15.26</c:v>
                </c:pt>
                <c:pt idx="3">
                  <c:v>-0.91</c:v>
                </c:pt>
                <c:pt idx="4">
                  <c:v>15.54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991816"/>
        <c:axId val="658990176"/>
      </c:scatterChart>
      <c:valAx>
        <c:axId val="658991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高度（</a:t>
                </a:r>
                <a:r>
                  <a:rPr lang="en-US" altLang="zh-CN"/>
                  <a:t>mm</a:t>
                </a:r>
                <a:r>
                  <a:rPr lang="zh-CN" altLang="en-US"/>
                  <a:t>）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8990176"/>
        <c:crosses val="autoZero"/>
        <c:crossBetween val="midCat"/>
      </c:valAx>
      <c:valAx>
        <c:axId val="65899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应力</a:t>
                </a:r>
                <a:r>
                  <a:rPr lang="en-US" altLang="zh-CN"/>
                  <a:t>(MPa)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0305555555555556"/>
              <c:y val="0.31809018664333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8991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（钢）钢</a:t>
            </a:r>
            <a:r>
              <a:rPr lang="en-US" altLang="zh-CN"/>
              <a:t>-</a:t>
            </a:r>
            <a:r>
              <a:rPr lang="zh-CN" altLang="en-US"/>
              <a:t>铝梁应力高度曲线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钢铝!$G$3:$K$3</c:f>
              <c:numCache>
                <c:formatCode>0.00_ </c:formatCode>
                <c:ptCount val="5"/>
                <c:pt idx="0">
                  <c:v>21.375</c:v>
                </c:pt>
                <c:pt idx="1">
                  <c:v>14.25</c:v>
                </c:pt>
                <c:pt idx="2">
                  <c:v>7.125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钢铝!$G$4:$K$4</c:f>
              <c:numCache>
                <c:formatCode>0.00_ </c:formatCode>
                <c:ptCount val="5"/>
                <c:pt idx="0">
                  <c:v>-50.47</c:v>
                </c:pt>
                <c:pt idx="1">
                  <c:v>-0.824</c:v>
                </c:pt>
                <c:pt idx="2">
                  <c:v>47.792</c:v>
                </c:pt>
                <c:pt idx="3">
                  <c:v>95.378</c:v>
                </c:pt>
                <c:pt idx="4">
                  <c:v>95.172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979352"/>
        <c:axId val="658986896"/>
      </c:scatterChart>
      <c:valAx>
        <c:axId val="658979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高度（</a:t>
                </a:r>
                <a:r>
                  <a:rPr lang="en-US" altLang="zh-CN"/>
                  <a:t>mm</a:t>
                </a:r>
                <a:r>
                  <a:rPr lang="zh-CN" altLang="en-US"/>
                  <a:t>）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8986896"/>
        <c:crosses val="autoZero"/>
        <c:crossBetween val="midCat"/>
      </c:valAx>
      <c:valAx>
        <c:axId val="65898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应力（</a:t>
                </a:r>
                <a:r>
                  <a:rPr lang="en-US" altLang="zh-CN"/>
                  <a:t>MPa</a:t>
                </a:r>
                <a:r>
                  <a:rPr lang="zh-CN" altLang="en-US"/>
                  <a:t>）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8979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钢铝梁理论应力</a:t>
            </a:r>
            <a:r>
              <a:rPr lang="en-US" altLang="zh-CN"/>
              <a:t>-</a:t>
            </a:r>
            <a:r>
              <a:rPr altLang="en-US"/>
              <a:t>高度曲线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钢铝!$B$3:$K$3</c:f>
              <c:numCache>
                <c:formatCode>0.00_ </c:formatCode>
                <c:ptCount val="10"/>
                <c:pt idx="0">
                  <c:v>57</c:v>
                </c:pt>
                <c:pt idx="1">
                  <c:v>57</c:v>
                </c:pt>
                <c:pt idx="2">
                  <c:v>49.875</c:v>
                </c:pt>
                <c:pt idx="3">
                  <c:v>42.75</c:v>
                </c:pt>
                <c:pt idx="4">
                  <c:v>35.625</c:v>
                </c:pt>
                <c:pt idx="5">
                  <c:v>21.375</c:v>
                </c:pt>
                <c:pt idx="6">
                  <c:v>14.25</c:v>
                </c:pt>
                <c:pt idx="7">
                  <c:v>7.125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钢铝!$B$5:$K$5</c:f>
              <c:numCache>
                <c:formatCode>0.00_ </c:formatCode>
                <c:ptCount val="10"/>
                <c:pt idx="0">
                  <c:v>-37.1800654590721</c:v>
                </c:pt>
                <c:pt idx="1">
                  <c:v>-37.1800654590721</c:v>
                </c:pt>
                <c:pt idx="2">
                  <c:v>-18.590032729536</c:v>
                </c:pt>
                <c:pt idx="3">
                  <c:v>0</c:v>
                </c:pt>
                <c:pt idx="4">
                  <c:v>18.590032729536</c:v>
                </c:pt>
                <c:pt idx="5">
                  <c:v>-54.7078106040632</c:v>
                </c:pt>
                <c:pt idx="6">
                  <c:v>0</c:v>
                </c:pt>
                <c:pt idx="7">
                  <c:v>54.7078106040632</c:v>
                </c:pt>
                <c:pt idx="8">
                  <c:v>109.415621208126</c:v>
                </c:pt>
                <c:pt idx="9">
                  <c:v>109.415621208126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355013"/>
        <c:axId val="783984432"/>
      </c:scatterChart>
      <c:valAx>
        <c:axId val="35035501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高度（</a:t>
                </a:r>
                <a:r>
                  <a:rPr lang="en-US" altLang="zh-CN"/>
                  <a:t>mm</a:t>
                </a:r>
                <a:r>
                  <a:rPr altLang="en-US"/>
                  <a:t>）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3984432"/>
        <c:crosses val="autoZero"/>
        <c:crossBetween val="midCat"/>
      </c:valAx>
      <c:valAx>
        <c:axId val="78398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理论应力（</a:t>
                </a:r>
                <a:r>
                  <a:rPr lang="en-US" altLang="zh-CN"/>
                  <a:t>MPa</a:t>
                </a:r>
                <a:r>
                  <a:rPr altLang="en-US"/>
                  <a:t>）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035501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（上半部）楔块梁应力高度曲线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楔块!$B$3:$F$3</c:f>
              <c:numCache>
                <c:formatCode>0.00_ </c:formatCode>
                <c:ptCount val="5"/>
                <c:pt idx="0">
                  <c:v>55.94</c:v>
                </c:pt>
                <c:pt idx="1">
                  <c:v>55.94</c:v>
                </c:pt>
                <c:pt idx="2">
                  <c:v>48.9475</c:v>
                </c:pt>
                <c:pt idx="3">
                  <c:v>41.955</c:v>
                </c:pt>
                <c:pt idx="4">
                  <c:v>34.9625</c:v>
                </c:pt>
              </c:numCache>
            </c:numRef>
          </c:xVal>
          <c:yVal>
            <c:numRef>
              <c:f>楔块!$B$4:$F$4</c:f>
              <c:numCache>
                <c:formatCode>0.00_ </c:formatCode>
                <c:ptCount val="5"/>
                <c:pt idx="0">
                  <c:v>-51.912</c:v>
                </c:pt>
                <c:pt idx="1">
                  <c:v>-51.706</c:v>
                </c:pt>
                <c:pt idx="2">
                  <c:v>-29.252</c:v>
                </c:pt>
                <c:pt idx="3">
                  <c:v>-7.622</c:v>
                </c:pt>
                <c:pt idx="4">
                  <c:v>14.626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875600"/>
        <c:axId val="662869368"/>
      </c:scatterChart>
      <c:valAx>
        <c:axId val="6628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高度（</a:t>
                </a:r>
                <a:r>
                  <a:rPr lang="en-US" altLang="zh-CN"/>
                  <a:t>mm</a:t>
                </a:r>
                <a:r>
                  <a:rPr lang="zh-CN" altLang="en-US"/>
                  <a:t>）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2869368"/>
        <c:crosses val="autoZero"/>
        <c:crossBetween val="midCat"/>
      </c:valAx>
      <c:valAx>
        <c:axId val="66286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应力（</a:t>
                </a:r>
                <a:r>
                  <a:rPr lang="en-US" altLang="zh-CN"/>
                  <a:t>MPa)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287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（下半部）楔块梁应力高度曲线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楔块!$G$3:$K$3</c:f>
              <c:numCache>
                <c:formatCode>0.00_ </c:formatCode>
                <c:ptCount val="5"/>
                <c:pt idx="0">
                  <c:v>20.8775</c:v>
                </c:pt>
                <c:pt idx="1">
                  <c:v>13.985</c:v>
                </c:pt>
                <c:pt idx="2">
                  <c:v>6.9925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楔块!$G$4:$K$4</c:f>
              <c:numCache>
                <c:formatCode>0.00_ </c:formatCode>
                <c:ptCount val="5"/>
                <c:pt idx="0">
                  <c:v>-14.832</c:v>
                </c:pt>
                <c:pt idx="1">
                  <c:v>7.004</c:v>
                </c:pt>
                <c:pt idx="2">
                  <c:v>29.458</c:v>
                </c:pt>
                <c:pt idx="3">
                  <c:v>51.294</c:v>
                </c:pt>
                <c:pt idx="4">
                  <c:v>51.912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989192"/>
        <c:axId val="658991816"/>
      </c:scatterChart>
      <c:valAx>
        <c:axId val="65898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高度（</a:t>
                </a:r>
                <a:r>
                  <a:rPr lang="en-US" altLang="zh-CN"/>
                  <a:t>mm</a:t>
                </a:r>
                <a:r>
                  <a:rPr lang="zh-CN" altLang="en-US"/>
                  <a:t>）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8991816"/>
        <c:crosses val="autoZero"/>
        <c:crossBetween val="midCat"/>
      </c:valAx>
      <c:valAx>
        <c:axId val="65899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应力（</a:t>
                </a:r>
                <a:r>
                  <a:rPr lang="en-US" altLang="zh-CN"/>
                  <a:t>MPa</a:t>
                </a:r>
                <a:r>
                  <a:rPr lang="zh-CN" altLang="en-US"/>
                  <a:t>）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898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楔块梁理论应力</a:t>
            </a:r>
            <a:r>
              <a:rPr lang="en-US" altLang="zh-CN"/>
              <a:t>-</a:t>
            </a:r>
            <a:r>
              <a:rPr altLang="en-US"/>
              <a:t>高度曲线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楔块!$B$3:$K$3</c:f>
              <c:numCache>
                <c:formatCode>0.00_ </c:formatCode>
                <c:ptCount val="10"/>
                <c:pt idx="0">
                  <c:v>55.94</c:v>
                </c:pt>
                <c:pt idx="1">
                  <c:v>55.94</c:v>
                </c:pt>
                <c:pt idx="2">
                  <c:v>48.9475</c:v>
                </c:pt>
                <c:pt idx="3">
                  <c:v>41.955</c:v>
                </c:pt>
                <c:pt idx="4">
                  <c:v>34.9625</c:v>
                </c:pt>
                <c:pt idx="5">
                  <c:v>20.8775</c:v>
                </c:pt>
                <c:pt idx="6">
                  <c:v>13.985</c:v>
                </c:pt>
                <c:pt idx="7">
                  <c:v>6.9925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楔块!$B$5:$K$5</c:f>
              <c:numCache>
                <c:formatCode>0.00_ </c:formatCode>
                <c:ptCount val="10"/>
                <c:pt idx="0">
                  <c:v>-43.9397694731152</c:v>
                </c:pt>
                <c:pt idx="1">
                  <c:v>-43.9397694731152</c:v>
                </c:pt>
                <c:pt idx="2">
                  <c:v>-28.9603026072805</c:v>
                </c:pt>
                <c:pt idx="3">
                  <c:v>-13.9808357414457</c:v>
                </c:pt>
                <c:pt idx="4">
                  <c:v>0.998631124388993</c:v>
                </c:pt>
                <c:pt idx="5">
                  <c:v>-0.784409217119261</c:v>
                </c:pt>
                <c:pt idx="6">
                  <c:v>13.9808357414458</c:v>
                </c:pt>
                <c:pt idx="7">
                  <c:v>28.9603026072805</c:v>
                </c:pt>
                <c:pt idx="8">
                  <c:v>43.9397694731152</c:v>
                </c:pt>
                <c:pt idx="9">
                  <c:v>43.9397694731152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822771"/>
        <c:axId val="895333764"/>
      </c:scatterChart>
      <c:valAx>
        <c:axId val="7698227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高度（</a:t>
                </a:r>
                <a:r>
                  <a:rPr lang="en-US" altLang="zh-CN"/>
                  <a:t>mm</a:t>
                </a:r>
                <a:r>
                  <a:rPr altLang="en-US"/>
                  <a:t>）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5333764"/>
        <c:crosses val="autoZero"/>
        <c:crossBetween val="midCat"/>
      </c:valAx>
      <c:valAx>
        <c:axId val="8953337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理论应力（</a:t>
                </a:r>
                <a:r>
                  <a:rPr lang="en-US" altLang="zh-CN"/>
                  <a:t>MPa</a:t>
                </a:r>
                <a:r>
                  <a:rPr altLang="en-US"/>
                  <a:t>）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98227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190500</xdr:colOff>
      <xdr:row>23</xdr:row>
      <xdr:rowOff>3810</xdr:rowOff>
    </xdr:from>
    <xdr:to>
      <xdr:col>7</xdr:col>
      <xdr:colOff>495300</xdr:colOff>
      <xdr:row>38</xdr:row>
      <xdr:rowOff>118110</xdr:rowOff>
    </xdr:to>
    <xdr:graphicFrame>
      <xdr:nvGraphicFramePr>
        <xdr:cNvPr id="2" name="图表 1"/>
        <xdr:cNvGraphicFramePr/>
      </xdr:nvGraphicFramePr>
      <xdr:xfrm>
        <a:off x="190500" y="405003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350520</xdr:colOff>
      <xdr:row>23</xdr:row>
      <xdr:rowOff>110490</xdr:rowOff>
    </xdr:from>
    <xdr:to>
      <xdr:col>16</xdr:col>
      <xdr:colOff>45720</xdr:colOff>
      <xdr:row>39</xdr:row>
      <xdr:rowOff>49530</xdr:rowOff>
    </xdr:to>
    <xdr:graphicFrame>
      <xdr:nvGraphicFramePr>
        <xdr:cNvPr id="3" name="图表 2"/>
        <xdr:cNvGraphicFramePr/>
      </xdr:nvGraphicFramePr>
      <xdr:xfrm>
        <a:off x="5288280" y="415671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254000</xdr:colOff>
      <xdr:row>6</xdr:row>
      <xdr:rowOff>152400</xdr:rowOff>
    </xdr:from>
    <xdr:to>
      <xdr:col>12</xdr:col>
      <xdr:colOff>505460</xdr:colOff>
      <xdr:row>22</xdr:row>
      <xdr:rowOff>91440</xdr:rowOff>
    </xdr:to>
    <xdr:graphicFrame>
      <xdr:nvGraphicFramePr>
        <xdr:cNvPr id="10" name="图表 9"/>
        <xdr:cNvGraphicFramePr/>
      </xdr:nvGraphicFramePr>
      <xdr:xfrm>
        <a:off x="3340100" y="12192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327660</xdr:colOff>
      <xdr:row>17</xdr:row>
      <xdr:rowOff>34290</xdr:rowOff>
    </xdr:from>
    <xdr:to>
      <xdr:col>8</xdr:col>
      <xdr:colOff>22860</xdr:colOff>
      <xdr:row>32</xdr:row>
      <xdr:rowOff>148590</xdr:rowOff>
    </xdr:to>
    <xdr:graphicFrame>
      <xdr:nvGraphicFramePr>
        <xdr:cNvPr id="2" name="图表 1"/>
        <xdr:cNvGraphicFramePr/>
      </xdr:nvGraphicFramePr>
      <xdr:xfrm>
        <a:off x="327660" y="3028950"/>
        <a:ext cx="65684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297180</xdr:colOff>
      <xdr:row>18</xdr:row>
      <xdr:rowOff>72390</xdr:rowOff>
    </xdr:from>
    <xdr:to>
      <xdr:col>15</xdr:col>
      <xdr:colOff>601980</xdr:colOff>
      <xdr:row>34</xdr:row>
      <xdr:rowOff>11430</xdr:rowOff>
    </xdr:to>
    <xdr:graphicFrame>
      <xdr:nvGraphicFramePr>
        <xdr:cNvPr id="3" name="图表 2"/>
        <xdr:cNvGraphicFramePr/>
      </xdr:nvGraphicFramePr>
      <xdr:xfrm>
        <a:off x="7170420" y="3242310"/>
        <a:ext cx="54254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787400</xdr:colOff>
      <xdr:row>6</xdr:row>
      <xdr:rowOff>152400</xdr:rowOff>
    </xdr:from>
    <xdr:to>
      <xdr:col>9</xdr:col>
      <xdr:colOff>154940</xdr:colOff>
      <xdr:row>22</xdr:row>
      <xdr:rowOff>91440</xdr:rowOff>
    </xdr:to>
    <xdr:graphicFrame>
      <xdr:nvGraphicFramePr>
        <xdr:cNvPr id="7" name="图表 6"/>
        <xdr:cNvGraphicFramePr/>
      </xdr:nvGraphicFramePr>
      <xdr:xfrm>
        <a:off x="3340100" y="12192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510540</xdr:colOff>
      <xdr:row>19</xdr:row>
      <xdr:rowOff>125730</xdr:rowOff>
    </xdr:from>
    <xdr:to>
      <xdr:col>6</xdr:col>
      <xdr:colOff>7620</xdr:colOff>
      <xdr:row>34</xdr:row>
      <xdr:rowOff>171450</xdr:rowOff>
    </xdr:to>
    <xdr:graphicFrame>
      <xdr:nvGraphicFramePr>
        <xdr:cNvPr id="4" name="图表 3"/>
        <xdr:cNvGraphicFramePr/>
      </xdr:nvGraphicFramePr>
      <xdr:xfrm>
        <a:off x="510540" y="3470910"/>
        <a:ext cx="5303520" cy="2674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152400</xdr:colOff>
      <xdr:row>19</xdr:row>
      <xdr:rowOff>125730</xdr:rowOff>
    </xdr:from>
    <xdr:to>
      <xdr:col>14</xdr:col>
      <xdr:colOff>198120</xdr:colOff>
      <xdr:row>35</xdr:row>
      <xdr:rowOff>64770</xdr:rowOff>
    </xdr:to>
    <xdr:graphicFrame>
      <xdr:nvGraphicFramePr>
        <xdr:cNvPr id="5" name="图表 4"/>
        <xdr:cNvGraphicFramePr/>
      </xdr:nvGraphicFramePr>
      <xdr:xfrm>
        <a:off x="6926580" y="3470910"/>
        <a:ext cx="54330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436880</xdr:colOff>
      <xdr:row>6</xdr:row>
      <xdr:rowOff>152400</xdr:rowOff>
    </xdr:from>
    <xdr:to>
      <xdr:col>8</xdr:col>
      <xdr:colOff>254000</xdr:colOff>
      <xdr:row>22</xdr:row>
      <xdr:rowOff>91440</xdr:rowOff>
    </xdr:to>
    <xdr:graphicFrame>
      <xdr:nvGraphicFramePr>
        <xdr:cNvPr id="6" name="图表 5"/>
        <xdr:cNvGraphicFramePr/>
      </xdr:nvGraphicFramePr>
      <xdr:xfrm>
        <a:off x="3340100" y="12192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P5" sqref="P5"/>
    </sheetView>
  </sheetViews>
  <sheetFormatPr defaultColWidth="9" defaultRowHeight="13.8"/>
  <sheetData>
    <row r="1" spans="1:11">
      <c r="A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ht="14.4" spans="1:12">
      <c r="A2" t="s">
        <v>1</v>
      </c>
      <c r="B2" s="2">
        <v>-309</v>
      </c>
      <c r="C2" s="2">
        <v>-310</v>
      </c>
      <c r="D2" s="2">
        <v>-158</v>
      </c>
      <c r="E2" s="2">
        <v>1</v>
      </c>
      <c r="F2" s="2">
        <v>158</v>
      </c>
      <c r="G2" s="2">
        <v>-157</v>
      </c>
      <c r="H2" s="2">
        <v>9</v>
      </c>
      <c r="I2" s="2">
        <v>167</v>
      </c>
      <c r="J2" s="2">
        <v>323</v>
      </c>
      <c r="K2" s="2">
        <v>322</v>
      </c>
      <c r="L2" s="3"/>
    </row>
    <row r="3" spans="1:12">
      <c r="A3" t="s">
        <v>2</v>
      </c>
      <c r="B3" s="2">
        <v>56.64</v>
      </c>
      <c r="C3" s="2">
        <v>56.64</v>
      </c>
      <c r="D3" s="2">
        <v>49.56</v>
      </c>
      <c r="E3" s="2">
        <v>42.48</v>
      </c>
      <c r="F3" s="2">
        <v>35.4</v>
      </c>
      <c r="G3" s="2">
        <v>21.24</v>
      </c>
      <c r="H3" s="2">
        <v>14.16</v>
      </c>
      <c r="I3" s="2">
        <v>7.08</v>
      </c>
      <c r="J3" s="2">
        <v>0</v>
      </c>
      <c r="K3" s="2">
        <v>0</v>
      </c>
      <c r="L3" s="3"/>
    </row>
    <row r="4" ht="14.4" spans="1:12">
      <c r="A4" t="s">
        <v>3</v>
      </c>
      <c r="B4" s="2">
        <f t="shared" ref="B4:K4" si="0">B2*0.206</f>
        <v>-63.654</v>
      </c>
      <c r="C4" s="2">
        <f t="shared" si="0"/>
        <v>-63.86</v>
      </c>
      <c r="D4" s="2">
        <f t="shared" si="0"/>
        <v>-32.548</v>
      </c>
      <c r="E4" s="2">
        <f t="shared" si="0"/>
        <v>0.206</v>
      </c>
      <c r="F4" s="2">
        <f t="shared" si="0"/>
        <v>32.548</v>
      </c>
      <c r="G4" s="2">
        <f t="shared" si="0"/>
        <v>-32.342</v>
      </c>
      <c r="H4" s="2">
        <f t="shared" si="0"/>
        <v>1.854</v>
      </c>
      <c r="I4" s="2">
        <f t="shared" si="0"/>
        <v>34.402</v>
      </c>
      <c r="J4" s="2">
        <f t="shared" si="0"/>
        <v>66.538</v>
      </c>
      <c r="K4" s="2">
        <f t="shared" si="0"/>
        <v>66.332</v>
      </c>
      <c r="L4" s="3"/>
    </row>
    <row r="5" spans="1:12">
      <c r="A5" t="s">
        <v>4</v>
      </c>
      <c r="B5" s="2">
        <f>-3*5000*180*(B3-56.64*3/4)/(25.05*28.32*28.32*28.32)</f>
        <v>-67.1953994911642</v>
      </c>
      <c r="C5" s="2">
        <f t="shared" ref="C5:F5" si="1">-3*5000*180*(C3-56.64*3/4)/(25.05*28.32*28.32*28.32)</f>
        <v>-67.1953994911642</v>
      </c>
      <c r="D5" s="2">
        <f t="shared" si="1"/>
        <v>-33.5976997455821</v>
      </c>
      <c r="E5" s="2">
        <f t="shared" si="1"/>
        <v>0</v>
      </c>
      <c r="F5" s="2">
        <f t="shared" si="1"/>
        <v>33.5976997455821</v>
      </c>
      <c r="G5" s="2">
        <f>-3*5000*180*(G3-56.64/4)/(25.05*28.32*28.32*28.32)</f>
        <v>-33.5976997455821</v>
      </c>
      <c r="H5" s="2">
        <f t="shared" ref="H5:K5" si="2">-3*5000*180*(H3-56.64/4)/(25.05*28.32*28.32*28.32)</f>
        <v>0</v>
      </c>
      <c r="I5" s="2">
        <f t="shared" si="2"/>
        <v>33.5976997455821</v>
      </c>
      <c r="J5" s="2">
        <f t="shared" si="2"/>
        <v>67.1953994911642</v>
      </c>
      <c r="K5" s="2">
        <f t="shared" si="2"/>
        <v>67.1953994911642</v>
      </c>
      <c r="L5" s="3"/>
    </row>
    <row r="6" spans="2:12">
      <c r="B6" s="2"/>
      <c r="C6" s="2"/>
      <c r="D6" s="2"/>
      <c r="E6" s="2"/>
      <c r="F6" s="2"/>
      <c r="G6" s="2"/>
      <c r="H6" s="2"/>
      <c r="I6" s="2"/>
      <c r="J6" s="2"/>
      <c r="K6" s="2"/>
      <c r="L6" s="3"/>
    </row>
    <row r="7" spans="2:12">
      <c r="B7" s="2"/>
      <c r="C7" s="2"/>
      <c r="D7" s="2"/>
      <c r="E7" s="2"/>
      <c r="F7" s="2"/>
      <c r="G7" s="2"/>
      <c r="H7" s="2"/>
      <c r="I7" s="2"/>
      <c r="J7" s="2"/>
      <c r="K7" s="2"/>
      <c r="L7" s="3"/>
    </row>
    <row r="8" spans="2:12">
      <c r="B8" s="2"/>
      <c r="C8" s="2"/>
      <c r="D8" s="2"/>
      <c r="E8" s="2"/>
      <c r="F8" s="2"/>
      <c r="G8" s="2"/>
      <c r="H8" s="2"/>
      <c r="I8" s="2"/>
      <c r="J8" s="2"/>
      <c r="K8" s="2"/>
      <c r="L8" s="3"/>
    </row>
    <row r="9" spans="2:12">
      <c r="B9" s="2"/>
      <c r="C9" s="2"/>
      <c r="D9" s="2"/>
      <c r="E9" s="2"/>
      <c r="F9" s="2"/>
      <c r="G9" s="2"/>
      <c r="H9" s="2"/>
      <c r="I9" s="2"/>
      <c r="J9" s="2"/>
      <c r="K9" s="2"/>
      <c r="L9" s="3"/>
    </row>
    <row r="10" spans="2:11"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2:11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2:11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2:11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2:11"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C16" sqref="C16"/>
    </sheetView>
  </sheetViews>
  <sheetFormatPr defaultColWidth="9" defaultRowHeight="13.8" outlineLevelRow="7"/>
  <cols>
    <col min="2" max="4" width="14.1111111111111"/>
    <col min="6" max="6" width="12.8888888888889"/>
    <col min="7" max="7" width="14.1111111111111"/>
    <col min="8" max="11" width="12.8888888888889"/>
  </cols>
  <sheetData>
    <row r="1" spans="1:11">
      <c r="A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ht="14.4" spans="1:12">
      <c r="A2" t="s">
        <v>1</v>
      </c>
      <c r="B2" s="2">
        <v>-437</v>
      </c>
      <c r="C2" s="2">
        <v>-437</v>
      </c>
      <c r="D2" s="2">
        <v>-218</v>
      </c>
      <c r="E2" s="2">
        <v>-13</v>
      </c>
      <c r="F2" s="2">
        <v>222</v>
      </c>
      <c r="G2" s="2">
        <v>-245</v>
      </c>
      <c r="H2" s="2">
        <v>-4</v>
      </c>
      <c r="I2" s="2">
        <v>232</v>
      </c>
      <c r="J2" s="2">
        <v>463</v>
      </c>
      <c r="K2" s="2">
        <v>462</v>
      </c>
      <c r="L2" s="2"/>
    </row>
    <row r="3" spans="1:12">
      <c r="A3" t="s">
        <v>2</v>
      </c>
      <c r="B3" s="2">
        <v>57</v>
      </c>
      <c r="C3" s="2">
        <v>57</v>
      </c>
      <c r="D3" s="2">
        <v>49.875</v>
      </c>
      <c r="E3" s="2">
        <v>42.75</v>
      </c>
      <c r="F3" s="2">
        <v>35.625</v>
      </c>
      <c r="G3" s="2">
        <v>21.375</v>
      </c>
      <c r="H3" s="2">
        <v>14.25</v>
      </c>
      <c r="I3" s="2">
        <v>7.125</v>
      </c>
      <c r="J3" s="2">
        <v>0</v>
      </c>
      <c r="K3" s="2">
        <v>0</v>
      </c>
      <c r="L3" s="2"/>
    </row>
    <row r="4" ht="14.4" spans="1:12">
      <c r="A4" t="s">
        <v>3</v>
      </c>
      <c r="B4" s="2">
        <f>B2*0.07</f>
        <v>-30.59</v>
      </c>
      <c r="C4" s="2">
        <f t="shared" ref="C4:F4" si="0">C2*0.07</f>
        <v>-30.59</v>
      </c>
      <c r="D4" s="2">
        <f t="shared" si="0"/>
        <v>-15.26</v>
      </c>
      <c r="E4" s="2">
        <f t="shared" si="0"/>
        <v>-0.91</v>
      </c>
      <c r="F4" s="2">
        <f t="shared" si="0"/>
        <v>15.54</v>
      </c>
      <c r="G4" s="2">
        <f>G2*0.206</f>
        <v>-50.47</v>
      </c>
      <c r="H4" s="2">
        <f t="shared" ref="H4:K4" si="1">H2*0.206</f>
        <v>-0.824</v>
      </c>
      <c r="I4" s="2">
        <f t="shared" si="1"/>
        <v>47.792</v>
      </c>
      <c r="J4" s="2">
        <f t="shared" si="1"/>
        <v>95.378</v>
      </c>
      <c r="K4" s="2">
        <f t="shared" si="1"/>
        <v>95.172</v>
      </c>
      <c r="L4" s="2"/>
    </row>
    <row r="5" spans="1:12">
      <c r="A5" t="s">
        <v>4</v>
      </c>
      <c r="B5" s="2">
        <f>-6*5000*180*70*(B3-57*3/4)/(25.24*27.5*27.5*27.5*276)</f>
        <v>-37.1800654590721</v>
      </c>
      <c r="C5" s="2">
        <f>-6*5000*180*70*(C3-57*3/4)/(25.24*27.5*27.5*27.5*276)</f>
        <v>-37.1800654590721</v>
      </c>
      <c r="D5" s="2">
        <f>-6*5000*180*70*(D3-57*3/4)/(25.24*27.5*27.5*27.5*276)</f>
        <v>-18.590032729536</v>
      </c>
      <c r="E5" s="2">
        <f>-6*5000*180*70*(E3-57*3/4)/(25.24*27.5*27.5*27.5*276)</f>
        <v>0</v>
      </c>
      <c r="F5" s="2">
        <f>-6*5000*180*70*(F3-57*3/4)/(25.24*27.5*27.5*27.5*276)</f>
        <v>18.590032729536</v>
      </c>
      <c r="G5" s="2">
        <f>-6*5000*180*206*(G3-57/4)/(25.24*27.5*27.5*27.5*276)</f>
        <v>-54.7078106040632</v>
      </c>
      <c r="H5" s="2">
        <f>-6*5000*180*206*(H3-57/4)/(25.24*27.5*27.5*27.5*276)</f>
        <v>0</v>
      </c>
      <c r="I5" s="2">
        <f>-6*5000*180*206*(I3-57/4)/(25.24*27.5*27.5*27.5*276)</f>
        <v>54.7078106040632</v>
      </c>
      <c r="J5" s="2">
        <f>-6*5000*180*206*(J3-57/4)/(25.24*27.5*27.5*27.5*276)</f>
        <v>109.415621208126</v>
      </c>
      <c r="K5" s="2">
        <f>-6*5000*180*206*(K3-57/4)/(25.24*27.5*27.5*27.5*276)</f>
        <v>109.415621208126</v>
      </c>
      <c r="L5" s="2"/>
    </row>
    <row r="6" spans="2:12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2:12"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2:12">
      <c r="B8" s="2"/>
      <c r="C8" s="2"/>
      <c r="D8" s="2"/>
      <c r="E8" s="2"/>
      <c r="F8" s="2"/>
      <c r="G8" s="2"/>
      <c r="H8" s="2"/>
      <c r="I8" s="2"/>
      <c r="J8" s="2"/>
      <c r="K8" s="2"/>
      <c r="L8" s="2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C9" sqref="C9"/>
    </sheetView>
  </sheetViews>
  <sheetFormatPr defaultColWidth="9" defaultRowHeight="13.8"/>
  <cols>
    <col min="1" max="7" width="14.1111111111111"/>
    <col min="8" max="11" width="12.8888888888889"/>
  </cols>
  <sheetData>
    <row r="1" spans="1:11">
      <c r="A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ht="14.4" spans="1:11">
      <c r="A2" t="s">
        <v>1</v>
      </c>
      <c r="B2" s="2">
        <v>-252</v>
      </c>
      <c r="C2" s="2">
        <v>-251</v>
      </c>
      <c r="D2" s="2">
        <v>-142</v>
      </c>
      <c r="E2" s="2">
        <v>-37</v>
      </c>
      <c r="F2" s="2">
        <v>71</v>
      </c>
      <c r="G2" s="2">
        <v>-72</v>
      </c>
      <c r="H2" s="2">
        <v>34</v>
      </c>
      <c r="I2" s="2">
        <v>143</v>
      </c>
      <c r="J2" s="2">
        <v>249</v>
      </c>
      <c r="K2" s="2">
        <v>252</v>
      </c>
    </row>
    <row r="3" spans="1:11">
      <c r="A3" t="s">
        <v>2</v>
      </c>
      <c r="B3" s="2">
        <v>55.94</v>
      </c>
      <c r="C3" s="2">
        <v>55.94</v>
      </c>
      <c r="D3" s="2">
        <v>48.9475</v>
      </c>
      <c r="E3" s="2">
        <v>41.955</v>
      </c>
      <c r="F3" s="2">
        <v>34.9625</v>
      </c>
      <c r="G3" s="2">
        <v>20.8775</v>
      </c>
      <c r="H3" s="2">
        <v>13.985</v>
      </c>
      <c r="I3" s="2">
        <v>6.9925</v>
      </c>
      <c r="J3" s="2">
        <v>0</v>
      </c>
      <c r="K3" s="2">
        <v>0</v>
      </c>
    </row>
    <row r="4" ht="14.4" spans="1:11">
      <c r="A4" t="s">
        <v>3</v>
      </c>
      <c r="B4" s="2">
        <f>B2*0.206</f>
        <v>-51.912</v>
      </c>
      <c r="C4" s="2">
        <f t="shared" ref="C4:K4" si="0">C2*0.206</f>
        <v>-51.706</v>
      </c>
      <c r="D4" s="2">
        <f t="shared" si="0"/>
        <v>-29.252</v>
      </c>
      <c r="E4" s="2">
        <f t="shared" si="0"/>
        <v>-7.622</v>
      </c>
      <c r="F4" s="2">
        <f t="shared" si="0"/>
        <v>14.626</v>
      </c>
      <c r="G4" s="2">
        <f t="shared" si="0"/>
        <v>-14.832</v>
      </c>
      <c r="H4" s="2">
        <f t="shared" si="0"/>
        <v>7.004</v>
      </c>
      <c r="I4" s="2">
        <f t="shared" si="0"/>
        <v>29.458</v>
      </c>
      <c r="J4" s="2">
        <f t="shared" si="0"/>
        <v>51.294</v>
      </c>
      <c r="K4" s="2">
        <f t="shared" si="0"/>
        <v>51.912</v>
      </c>
    </row>
    <row r="5" spans="1:11">
      <c r="A5" t="s">
        <v>4</v>
      </c>
      <c r="B5" s="2">
        <f>$A$10*B3+$A$8</f>
        <v>-43.9397694731152</v>
      </c>
      <c r="C5" s="2">
        <f>$A$10*C3+$A$8</f>
        <v>-43.9397694731152</v>
      </c>
      <c r="D5" s="2">
        <f>$A$10*D3+$A$8</f>
        <v>-28.9603026072805</v>
      </c>
      <c r="E5" s="2">
        <f>$A$10*E3+$A$8</f>
        <v>-13.9808357414457</v>
      </c>
      <c r="F5" s="2">
        <f>$A$10*F3+$A$8</f>
        <v>0.998631124388993</v>
      </c>
      <c r="G5" s="2">
        <f>$A$10*G3+$A$7</f>
        <v>-0.784409217119261</v>
      </c>
      <c r="H5" s="2">
        <f>$A$10*H3+$A$7</f>
        <v>13.9808357414458</v>
      </c>
      <c r="I5" s="2">
        <f>$A$10*I3+$A$7</f>
        <v>28.9603026072805</v>
      </c>
      <c r="J5" s="2">
        <f>$A$10*J3+$A$7</f>
        <v>43.9397694731152</v>
      </c>
      <c r="K5" s="2">
        <f>$A$10*K3+$A$7</f>
        <v>43.9397694731152</v>
      </c>
    </row>
    <row r="6" spans="2:11"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>
        <f>3*5000*(8*180-560)/(16*24*27.97*27.97)</f>
        <v>43.9397694731152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>
        <f>3*5000*(24*180-5*560)/(16*24*27.97*27.97)</f>
        <v>75.8959654535626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>
        <f>-3*5000*(16*180-3*560)/(16*24*27.97*27.97*27.97)</f>
        <v>-2.14221907269714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钢钢</vt:lpstr>
      <vt:lpstr>钢铝</vt:lpstr>
      <vt:lpstr>楔块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卞姿懿</dc:creator>
  <cp:lastModifiedBy>卞姿懿</cp:lastModifiedBy>
  <dcterms:created xsi:type="dcterms:W3CDTF">2021-05-05T06:55:00Z</dcterms:created>
  <dcterms:modified xsi:type="dcterms:W3CDTF">2021-05-12T02:58:29Z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